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13">
    <font>
      <name val="宋体"/>
      <charset val="134"/>
      <sz val="11"/>
    </font>
    <font>
      <name val="宋体"/>
      <charset val="134"/>
      <family val="3"/>
      <color rgb="FF000000"/>
      <sz val="14"/>
    </font>
    <font>
      <name val="宋体"/>
      <charset val="134"/>
      <family val="3"/>
      <color rgb="FF000000"/>
      <sz val="12"/>
    </font>
    <font>
      <name val="宋体"/>
      <charset val="134"/>
      <family val="3"/>
      <color rgb="FF000000"/>
      <sz val="10"/>
    </font>
    <font>
      <name val="宋体"/>
      <charset val="134"/>
      <family val="3"/>
      <b val="1"/>
      <color rgb="FF000000"/>
      <sz val="22"/>
    </font>
    <font>
      <name val="宋体"/>
      <charset val="134"/>
      <family val="3"/>
      <b val="1"/>
      <color rgb="FF000000"/>
      <sz val="18"/>
    </font>
    <font>
      <name val="宋体"/>
      <charset val="134"/>
      <family val="3"/>
      <color rgb="FF000000"/>
      <sz val="11"/>
    </font>
    <font>
      <name val="宋体"/>
      <charset val="134"/>
      <family val="3"/>
      <b val="1"/>
      <sz val="11"/>
    </font>
    <font>
      <name val="宋体"/>
      <charset val="134"/>
      <family val="3"/>
      <b val="1"/>
      <color rgb="FF000000"/>
      <sz val="11"/>
    </font>
    <font>
      <name val="宋体"/>
      <charset val="134"/>
      <family val="3"/>
      <color rgb="FFDE3C36"/>
      <sz val="11"/>
    </font>
    <font>
      <name val="宋体"/>
      <charset val="134"/>
      <family val="3"/>
      <sz val="9"/>
    </font>
    <font>
      <name val="宋体"/>
      <charset val="134"/>
      <family val="3"/>
      <sz val="11"/>
    </font>
    <font>
      <name val="方正小标宋简体"/>
      <charset val="134"/>
      <family val="4"/>
      <sz val="11"/>
    </font>
  </fonts>
  <fills count="3">
    <fill>
      <patternFill/>
    </fill>
    <fill>
      <patternFill patternType="gray125"/>
    </fill>
    <fill>
      <patternFill patternType="solid">
        <fgColor rgb="FFEAFAF1"/>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auto="1"/>
      </top>
      <bottom style="thin">
        <color auto="1"/>
      </bottom>
      <diagonal/>
    </border>
    <border>
      <left style="thin">
        <color rgb="FFC7ECFF"/>
      </left>
      <right style="thin">
        <color rgb="FFC7ECFF"/>
      </right>
      <top style="thin">
        <color rgb="FFC7ECFF"/>
      </top>
      <bottom style="thin">
        <color rgb="FFC7ECFF"/>
      </bottom>
      <diagonal/>
    </border>
    <border>
      <left style="thin">
        <color rgb="FFC7ECFF"/>
      </left>
      <right style="thin">
        <color rgb="FFC7ECFF"/>
      </right>
      <top/>
      <bottom style="thin">
        <color rgb="FFC7ECFF"/>
      </bottom>
      <diagonal/>
    </border>
    <border>
      <left style="thin">
        <color auto="1"/>
      </left>
      <right style="thin">
        <color rgb="FF000000"/>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C7ECFF"/>
      </right>
      <top style="thin">
        <color rgb="FFC7ECFF"/>
      </top>
      <bottom/>
      <diagonal/>
    </border>
    <border>
      <left style="thin">
        <color rgb="FFC7ECFF"/>
      </left>
      <right/>
      <top/>
      <bottom style="thin">
        <color rgb="FFC7ECFF"/>
      </bottom>
      <diagonal/>
    </border>
    <border>
      <left/>
      <right style="thin">
        <color rgb="FFC7ECFF"/>
      </right>
      <top/>
      <bottom style="thin">
        <color rgb="FFC7ECFF"/>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top style="thin">
        <color rgb="FFC7ECFF"/>
      </top>
      <bottom/>
      <diagonal/>
    </border>
    <border>
      <left style="thin">
        <color rgb="FFC7ECFF"/>
      </left>
      <right/>
      <top/>
      <bottom/>
      <diagonal/>
    </border>
    <border>
      <left/>
      <right style="thin">
        <color rgb="FFC7ECFF"/>
      </right>
      <top/>
      <bottom/>
      <diagonal/>
    </border>
  </borders>
  <cellStyleXfs count="1">
    <xf numFmtId="0" fontId="0" fillId="0" borderId="0" applyAlignment="1">
      <alignment vertical="center"/>
    </xf>
  </cellStyleXfs>
  <cellXfs count="61">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wrapText="1"/>
    </xf>
    <xf numFmtId="0" fontId="5" fillId="0" borderId="0" applyAlignment="1" pivotButton="0" quotePrefix="0" xfId="0">
      <alignment vertical="center"/>
    </xf>
    <xf numFmtId="0" fontId="6" fillId="0" borderId="1" applyAlignment="1" pivotButton="0" quotePrefix="0" xfId="0">
      <alignment vertical="center"/>
    </xf>
    <xf numFmtId="0" fontId="6" fillId="0" borderId="2" applyAlignment="1" pivotButton="0" quotePrefix="0" xfId="0">
      <alignment horizontal="center" vertical="center"/>
    </xf>
    <xf numFmtId="0" fontId="7" fillId="0" borderId="3" applyAlignment="1" pivotButton="0" quotePrefix="0" xfId="0">
      <alignment horizontal="center" vertical="center"/>
    </xf>
    <xf numFmtId="0" fontId="6" fillId="0"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4" applyAlignment="1" pivotButton="0" quotePrefix="0" xfId="0">
      <alignment horizontal="center" vertical="center"/>
    </xf>
    <xf numFmtId="0" fontId="7" fillId="0" borderId="5" applyAlignment="1" pivotButton="0" quotePrefix="0" xfId="0">
      <alignment horizontal="center" vertical="center"/>
    </xf>
    <xf numFmtId="0" fontId="6" fillId="0" borderId="4" applyAlignment="1" pivotButton="0" quotePrefix="0" xfId="0">
      <alignment horizontal="center" vertical="center" wrapText="1"/>
    </xf>
    <xf numFmtId="0" fontId="7" fillId="0" borderId="5" applyAlignment="1" pivotButton="0" quotePrefix="0" xfId="0">
      <alignment horizontal="center" vertical="center" wrapText="1"/>
    </xf>
    <xf numFmtId="0" fontId="8" fillId="0" borderId="3" applyAlignment="1" pivotButton="0" quotePrefix="0" xfId="0">
      <alignment horizontal="center" vertical="center"/>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7" fillId="0" borderId="6" applyAlignment="1" pivotButton="0" quotePrefix="0" xfId="0">
      <alignment horizontal="center" vertical="center" wrapText="1"/>
    </xf>
    <xf numFmtId="0" fontId="7"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9" applyAlignment="1" pivotButton="0" quotePrefix="0" xfId="0">
      <alignment horizontal="center" vertical="top"/>
    </xf>
    <xf numFmtId="0" fontId="7" fillId="0" borderId="10" applyAlignment="1" pivotButton="0" quotePrefix="0" xfId="0">
      <alignment horizontal="center" vertical="top"/>
    </xf>
    <xf numFmtId="0" fontId="7" fillId="0" borderId="6" applyAlignment="1" pivotButton="0" quotePrefix="0" xfId="0">
      <alignment horizontal="center" vertical="top"/>
    </xf>
    <xf numFmtId="0" fontId="6" fillId="2" borderId="13" applyAlignment="1" pivotButton="0" quotePrefix="0" xfId="0">
      <alignment horizontal="center" vertical="center"/>
    </xf>
    <xf numFmtId="0" fontId="8" fillId="2" borderId="13" applyAlignment="1" pivotButton="0" quotePrefix="0" xfId="0">
      <alignment horizontal="center" vertical="center"/>
    </xf>
    <xf numFmtId="0" fontId="6" fillId="0" borderId="3" applyAlignment="1" pivotButton="0" quotePrefix="0" xfId="0">
      <alignment horizontal="center" vertical="center"/>
    </xf>
    <xf numFmtId="0" fontId="6" fillId="2" borderId="12" applyAlignment="1" pivotButton="0" quotePrefix="0" xfId="0">
      <alignment horizontal="center" vertical="center"/>
    </xf>
    <xf numFmtId="0" fontId="6" fillId="0" borderId="5" applyAlignment="1" pivotButton="0" quotePrefix="0" xfId="0">
      <alignment horizontal="center" vertical="center"/>
    </xf>
    <xf numFmtId="0" fontId="0" fillId="0" borderId="0" applyAlignment="1" pivotButton="0" quotePrefix="0" xfId="0">
      <alignment horizontal="center" vertical="center"/>
    </xf>
    <xf numFmtId="0" fontId="11" fillId="0" borderId="0" applyAlignment="1" pivotButton="0" quotePrefix="0" xfId="0">
      <alignment vertical="center"/>
    </xf>
    <xf numFmtId="0" fontId="11" fillId="0" borderId="0" pivotButton="0" quotePrefix="0" xfId="0"/>
    <xf numFmtId="0" fontId="12" fillId="0" borderId="0" applyAlignment="1" pivotButton="0" quotePrefix="0" xfId="0">
      <alignment vertical="center"/>
    </xf>
    <xf numFmtId="0" fontId="6" fillId="0" borderId="1" applyAlignment="1" pivotButton="0" quotePrefix="0" xfId="0">
      <alignment horizontal="center" vertical="center"/>
    </xf>
    <xf numFmtId="0" fontId="0" fillId="0" borderId="15" pivotButton="0" quotePrefix="0" xfId="0"/>
    <xf numFmtId="0" fontId="0" fillId="0" borderId="16" pivotButton="0" quotePrefix="0" xfId="0"/>
    <xf numFmtId="0" fontId="3" fillId="0" borderId="1" applyAlignment="1" pivotButton="0" quotePrefix="0" xfId="0">
      <alignment horizontal="left" vertical="top" wrapText="1"/>
    </xf>
    <xf numFmtId="0" fontId="4" fillId="0" borderId="0" applyAlignment="1" pivotButton="0" quotePrefix="0" xfId="0">
      <alignment horizontal="center" vertical="center"/>
    </xf>
    <xf numFmtId="0" fontId="6" fillId="2" borderId="12" applyAlignment="1" pivotButton="0" quotePrefix="0" xfId="0">
      <alignment horizontal="center" vertical="center" wrapText="1"/>
    </xf>
    <xf numFmtId="0" fontId="6" fillId="0" borderId="12"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center" vertical="top" wrapText="1"/>
    </xf>
    <xf numFmtId="0" fontId="6" fillId="0" borderId="8" applyAlignment="1" pivotButton="0" quotePrefix="0" xfId="0">
      <alignment horizontal="center" vertical="center"/>
    </xf>
    <xf numFmtId="0" fontId="6" fillId="0" borderId="14" applyAlignment="1" pivotButton="0" quotePrefix="0" xfId="0">
      <alignment horizontal="center" vertical="center"/>
    </xf>
    <xf numFmtId="0" fontId="6" fillId="0" borderId="11" applyAlignment="1" pivotButton="0" quotePrefix="0" xfId="0">
      <alignment horizontal="center" vertical="center"/>
    </xf>
    <xf numFmtId="0" fontId="2" fillId="0" borderId="1" applyAlignment="1" pivotButton="0" quotePrefix="0" xfId="0">
      <alignment horizontal="center" vertical="center"/>
    </xf>
    <xf numFmtId="0" fontId="6" fillId="0" borderId="15" applyAlignment="1" pivotButton="0" quotePrefix="0" xfId="0">
      <alignment horizontal="center" vertical="center"/>
    </xf>
    <xf numFmtId="0" fontId="6" fillId="0" borderId="16" applyAlignment="1" pivotButton="0" quotePrefix="0" xfId="0">
      <alignment horizontal="center" vertical="center"/>
    </xf>
    <xf numFmtId="0" fontId="2" fillId="0" borderId="0" applyAlignment="1" pivotButton="0" quotePrefix="0" xfId="0">
      <alignment horizontal="center" vertical="center"/>
    </xf>
    <xf numFmtId="0" fontId="0" fillId="0" borderId="17" pivotButton="0" quotePrefix="0" xfId="0"/>
    <xf numFmtId="0" fontId="0" fillId="0" borderId="18" pivotButton="0" quotePrefix="0" xfId="0"/>
    <xf numFmtId="0" fontId="0" fillId="0" borderId="19" pivotButton="0" quotePrefix="0" xfId="0"/>
    <xf numFmtId="0" fontId="0" fillId="0" borderId="0" pivotButton="0" quotePrefix="0" xfId="0"/>
    <xf numFmtId="0" fontId="0" fillId="0" borderId="3" pivotButton="0" quotePrefix="0" xfId="0"/>
    <xf numFmtId="0" fontId="0" fillId="0" borderId="21" pivotButton="0" quotePrefix="0" xfId="0"/>
    <xf numFmtId="0" fontId="0" fillId="0" borderId="4" pivotButton="0" quotePrefix="0" xfId="0"/>
    <xf numFmtId="0" fontId="0" fillId="0" borderId="5" pivotButton="0" quotePrefix="0" xfId="0"/>
    <xf numFmtId="0" fontId="0" fillId="0" borderId="22" pivotButton="0" quotePrefix="0" xfId="0"/>
    <xf numFmtId="0" fontId="0" fillId="0" borderId="7" pivotButton="0" quotePrefix="0" xfId="0"/>
    <xf numFmtId="0" fontId="0" fillId="0" borderId="20" pivotButton="0" quotePrefix="0" xfId="0"/>
    <xf numFmtId="0" fontId="0" fillId="0" borderId="6" pivotButton="0" quotePrefix="0" xfId="0"/>
    <xf numFmtId="0" fontId="0" fillId="0" borderId="23" pivotButton="0" quotePrefix="0" xfId="0"/>
  </cellXfs>
  <cellStyles count="1">
    <cellStyle name="常规" xfId="0" builtinId="0"/>
  </cellStyles>
  <dxfs count="19">
    <dxf>
      <font>
        <name val="方正小标宋简体"/>
        <charset val="134"/>
        <family val="4"/>
        <strike val="0"/>
        <color auto="1"/>
        <sz val="11"/>
      </font>
    </dxf>
    <dxf>
      <font>
        <name val="方正小标宋简体"/>
        <charset val="134"/>
        <family val="4"/>
        <strike val="0"/>
        <color auto="1"/>
        <sz val="11"/>
      </font>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表1" displayName="表1" ref="T5:U11" headerRowCount="1" totalsRowShown="0">
  <autoFilter ref="T5:U11"/>
  <tableColumns count="2">
    <tableColumn id="1" name="姓名" dataDxfId="1"/>
    <tableColumn id="2" name="本周工时" dataDxfId="0">
      <calculatedColumnFormula array="1">SUMPRODUCT(COUNTIF(INDIRECT({"E5:E18","G5:G18","I5:I18","K5:K18","M5:M18","O5:O18","Q5:Q18"}),T6))*2&amp;"小时"</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B33"/>
  <sheetViews>
    <sheetView showGridLines="0" tabSelected="1" workbookViewId="0">
      <selection activeCell="P13" sqref="P13:P14"/>
    </sheetView>
  </sheetViews>
  <sheetFormatPr baseColWidth="8" defaultColWidth="10" defaultRowHeight="13.5"/>
  <cols>
    <col width="8.125" customWidth="1" style="51" min="2" max="3"/>
    <col width="7.625" customWidth="1" style="51" min="4" max="14"/>
    <col width="10.125" customWidth="1" style="51" min="15" max="15"/>
    <col width="7.625" customWidth="1" style="51" min="16" max="17"/>
    <col width="8.125" customWidth="1" style="51" min="18" max="18"/>
    <col width="7.625" customWidth="1" style="51" min="19" max="19"/>
  </cols>
  <sheetData>
    <row r="1" ht="15.95" customHeight="1" s="51">
      <c r="A1" s="36" t="inlineStr">
        <is>
          <t>多媒体部门勤工助学值班表</t>
        </is>
      </c>
      <c r="R1" s="4" t="n"/>
      <c r="S1" s="4" t="n"/>
    </row>
    <row r="2" ht="15.95" customHeight="1" s="51">
      <c r="R2" s="4" t="n"/>
      <c r="S2" s="4" t="n"/>
    </row>
    <row r="3" ht="30" customFormat="1" customHeight="1" s="1">
      <c r="A3" s="47" t="inlineStr">
        <is>
          <t>排班时间：  年 月 第 周   值班地点：A2、A3-4楼</t>
        </is>
      </c>
    </row>
    <row r="4" ht="20.1" customHeight="1" s="51">
      <c r="A4" s="5" t="n"/>
      <c r="B4" s="32" t="n"/>
      <c r="C4" s="34" t="n"/>
      <c r="D4" s="32" t="inlineStr">
        <is>
          <t>星期一</t>
        </is>
      </c>
      <c r="E4" s="34" t="n"/>
      <c r="F4" s="32" t="inlineStr">
        <is>
          <t>星期二</t>
        </is>
      </c>
      <c r="G4" s="34" t="n"/>
      <c r="H4" s="32" t="inlineStr">
        <is>
          <t xml:space="preserve">星期三 </t>
        </is>
      </c>
      <c r="I4" s="34" t="n"/>
      <c r="J4" s="32" t="inlineStr">
        <is>
          <t>星期四</t>
        </is>
      </c>
      <c r="K4" s="34" t="n"/>
      <c r="L4" s="32" t="inlineStr">
        <is>
          <t>星期五</t>
        </is>
      </c>
      <c r="M4" s="34" t="n"/>
      <c r="N4" s="32" t="inlineStr">
        <is>
          <t>星期六</t>
        </is>
      </c>
      <c r="O4" s="34" t="n"/>
      <c r="P4" s="32" t="inlineStr">
        <is>
          <t>星期日</t>
        </is>
      </c>
      <c r="Q4" s="34" t="n"/>
    </row>
    <row r="5" ht="16.5" customHeight="1" s="51">
      <c r="A5" s="32" t="inlineStr">
        <is>
          <t>上午</t>
        </is>
      </c>
      <c r="B5" s="39" t="inlineStr">
        <is>
          <t>1-2节
（8:20-10:00）</t>
        </is>
      </c>
      <c r="C5" s="52" t="n"/>
      <c r="D5" s="6" t="inlineStr">
        <is>
          <t>A2</t>
        </is>
      </c>
      <c r="E5" s="7" t="n"/>
      <c r="F5" s="6" t="inlineStr">
        <is>
          <t>A2</t>
        </is>
      </c>
      <c r="G5" s="7" t="n"/>
      <c r="H5" s="8" t="inlineStr">
        <is>
          <t>A2</t>
        </is>
      </c>
      <c r="I5" s="7" t="n"/>
      <c r="J5" s="6" t="inlineStr">
        <is>
          <t>A2</t>
        </is>
      </c>
      <c r="K5" s="9" t="n"/>
      <c r="L5" s="6" t="inlineStr">
        <is>
          <t>A2</t>
        </is>
      </c>
      <c r="M5" s="9" t="n"/>
      <c r="N5" s="6" t="inlineStr">
        <is>
          <t>A2</t>
        </is>
      </c>
      <c r="O5" s="7" t="inlineStr">
        <is>
          <t>演示管理员</t>
        </is>
      </c>
      <c r="P5" s="6" t="inlineStr">
        <is>
          <t>A2</t>
        </is>
      </c>
      <c r="Q5" s="9" t="n"/>
      <c r="T5" s="29" t="inlineStr">
        <is>
          <t>姓名</t>
        </is>
      </c>
      <c r="U5" s="30" t="inlineStr">
        <is>
          <t>本周工时</t>
        </is>
      </c>
    </row>
    <row r="6" ht="17.1" customHeight="1" s="51">
      <c r="A6" s="53" t="n"/>
      <c r="B6" s="54" t="n"/>
      <c r="C6" s="55" t="n"/>
      <c r="D6" s="10" t="inlineStr">
        <is>
          <t>A3</t>
        </is>
      </c>
      <c r="E6" s="11" t="n"/>
      <c r="F6" s="10" t="inlineStr">
        <is>
          <t>A3</t>
        </is>
      </c>
      <c r="G6" s="11" t="n"/>
      <c r="H6" s="12" t="inlineStr">
        <is>
          <t>A3</t>
        </is>
      </c>
      <c r="I6" s="13" t="n"/>
      <c r="J6" s="10" t="inlineStr">
        <is>
          <t>A3</t>
        </is>
      </c>
      <c r="K6" s="11" t="n"/>
      <c r="L6" s="10" t="inlineStr">
        <is>
          <t>A3</t>
        </is>
      </c>
      <c r="M6" s="13" t="n"/>
      <c r="N6" s="10" t="inlineStr">
        <is>
          <t>A3</t>
        </is>
      </c>
      <c r="O6" s="11" t="n"/>
      <c r="P6" s="10" t="inlineStr">
        <is>
          <t>A3</t>
        </is>
      </c>
      <c r="Q6" s="11" t="n"/>
      <c r="T6" s="31" t="inlineStr">
        <is>
          <t>演示管理员</t>
        </is>
      </c>
      <c r="U6" s="31">
        <f t="array" ref="U6">SUMPRODUCT(COUNTIF(INDIRECT({"E5:E18","G5:G18","I5:I18","K5:K18","M5:M18","O5:O18","Q5:Q18"}),T6))*2&amp;"小时"</f>
        <v/>
      </c>
    </row>
    <row r="7" ht="17.1" customHeight="1" s="51">
      <c r="A7" s="53" t="n"/>
      <c r="B7" s="39" t="inlineStr">
        <is>
          <t>3-4节
（10:25-12:05）</t>
        </is>
      </c>
      <c r="C7" s="52" t="n"/>
      <c r="D7" s="6" t="inlineStr">
        <is>
          <t>A2</t>
        </is>
      </c>
      <c r="E7" s="7" t="n"/>
      <c r="F7" s="6" t="inlineStr">
        <is>
          <t>A2</t>
        </is>
      </c>
      <c r="G7" s="7" t="n"/>
      <c r="H7" s="6" t="inlineStr">
        <is>
          <t>A2</t>
        </is>
      </c>
      <c r="I7" s="9" t="n"/>
      <c r="J7" s="6" t="inlineStr">
        <is>
          <t>A2</t>
        </is>
      </c>
      <c r="K7" s="14" t="n"/>
      <c r="L7" s="6" t="inlineStr">
        <is>
          <t>A2</t>
        </is>
      </c>
      <c r="M7" s="7" t="n"/>
      <c r="N7" s="6" t="inlineStr">
        <is>
          <t>A2</t>
        </is>
      </c>
      <c r="O7" s="7" t="inlineStr">
        <is>
          <t>演示管理员</t>
        </is>
      </c>
      <c r="P7" s="6" t="inlineStr">
        <is>
          <t>A2</t>
        </is>
      </c>
      <c r="Q7" s="14" t="n"/>
      <c r="T7" s="31" t="inlineStr">
        <is>
          <t>韩梅梅</t>
        </is>
      </c>
      <c r="U7" s="31">
        <f t="array" ref="U7">SUMPRODUCT(COUNTIF(INDIRECT({"E5:E18","G5:G18","I5:I18","K5:K18","M5:M18","O5:O18","Q5:Q18"}),T7))*2&amp;"小时"</f>
        <v/>
      </c>
    </row>
    <row r="8" ht="17.1" customHeight="1" s="51">
      <c r="A8" s="56" t="n"/>
      <c r="B8" s="54" t="n"/>
      <c r="C8" s="55" t="n"/>
      <c r="D8" s="10" t="inlineStr">
        <is>
          <t>A3</t>
        </is>
      </c>
      <c r="E8" s="11" t="n"/>
      <c r="F8" s="10" t="inlineStr">
        <is>
          <t>A3</t>
        </is>
      </c>
      <c r="G8" s="11" t="n"/>
      <c r="H8" s="10" t="inlineStr">
        <is>
          <t>A3</t>
        </is>
      </c>
      <c r="I8" s="11" t="n"/>
      <c r="J8" s="10" t="inlineStr">
        <is>
          <t>A3</t>
        </is>
      </c>
      <c r="K8" s="13" t="n"/>
      <c r="L8" s="10" t="inlineStr">
        <is>
          <t>A3</t>
        </is>
      </c>
      <c r="M8" s="11" t="n"/>
      <c r="N8" s="10" t="inlineStr">
        <is>
          <t>A3</t>
        </is>
      </c>
      <c r="O8" s="11" t="n"/>
      <c r="P8" s="10" t="inlineStr">
        <is>
          <t>A3</t>
        </is>
      </c>
      <c r="Q8" s="11" t="n"/>
      <c r="T8" s="31" t="inlineStr">
        <is>
          <t>赵敏</t>
        </is>
      </c>
      <c r="U8" s="31">
        <f t="array" ref="U8">SUMPRODUCT(COUNTIF(INDIRECT({"E5:E18","G5:G18","I5:I18","K5:K18","M5:M18","O5:O18","Q5:Q18"}),T8))*2&amp;"小时"</f>
        <v/>
      </c>
    </row>
    <row r="9" ht="17.1" customHeight="1" s="51">
      <c r="A9" s="32" t="inlineStr">
        <is>
          <t>中午</t>
        </is>
      </c>
      <c r="B9" s="39" t="inlineStr">
        <is>
          <t>中午
（12:05-14:00）</t>
        </is>
      </c>
      <c r="C9" s="52" t="n"/>
      <c r="D9" s="6" t="inlineStr">
        <is>
          <t>A2</t>
        </is>
      </c>
      <c r="E9" s="7" t="inlineStr">
        <is>
          <t>王芳</t>
        </is>
      </c>
      <c r="F9" s="6" t="inlineStr">
        <is>
          <t>A2</t>
        </is>
      </c>
      <c r="G9" s="7" t="inlineStr">
        <is>
          <t>韩梅梅</t>
        </is>
      </c>
      <c r="H9" s="6" t="inlineStr">
        <is>
          <t>A2</t>
        </is>
      </c>
      <c r="I9" s="7" t="inlineStr">
        <is>
          <t>赵敏</t>
        </is>
      </c>
      <c r="J9" s="6" t="inlineStr">
        <is>
          <t>A2</t>
        </is>
      </c>
      <c r="K9" s="7" t="inlineStr">
        <is>
          <t>李雷</t>
        </is>
      </c>
      <c r="L9" s="6" t="inlineStr">
        <is>
          <t>A2</t>
        </is>
      </c>
      <c r="M9" s="7" t="inlineStr">
        <is>
          <t>陈静</t>
        </is>
      </c>
      <c r="N9" s="6" t="inlineStr">
        <is>
          <t>A2</t>
        </is>
      </c>
      <c r="O9" s="7" t="inlineStr">
        <is>
          <t>演示管理员</t>
        </is>
      </c>
      <c r="P9" s="6" t="n"/>
      <c r="Q9" s="7" t="n"/>
      <c r="S9" s="15" t="n"/>
      <c r="T9" s="31" t="inlineStr">
        <is>
          <t>李雷</t>
        </is>
      </c>
      <c r="U9" s="31">
        <f t="array" ref="U9">SUMPRODUCT(COUNTIF(INDIRECT({"E5:E18","G5:G18","I5:I18","K5:K18","M5:M18","O5:O18","Q5:Q18"}),T9))*2&amp;"小时"</f>
        <v/>
      </c>
      <c r="V9" s="16" t="n"/>
      <c r="W9" s="15" t="n"/>
      <c r="X9" s="16" t="n"/>
      <c r="Y9" s="15" t="n"/>
      <c r="Z9" s="16" t="n"/>
      <c r="AA9" s="15" t="n"/>
      <c r="AB9" s="16" t="n"/>
    </row>
    <row r="10" ht="17.1" customHeight="1" s="51">
      <c r="A10" s="56" t="n"/>
      <c r="B10" s="54" t="n"/>
      <c r="C10" s="55" t="n"/>
      <c r="D10" s="10" t="inlineStr">
        <is>
          <t>A3</t>
        </is>
      </c>
      <c r="E10" s="11" t="n"/>
      <c r="F10" s="10" t="inlineStr">
        <is>
          <t>A3</t>
        </is>
      </c>
      <c r="G10" s="11" t="n"/>
      <c r="H10" s="10" t="inlineStr">
        <is>
          <t>A3</t>
        </is>
      </c>
      <c r="I10" s="11" t="n"/>
      <c r="J10" s="10" t="inlineStr">
        <is>
          <t>A3</t>
        </is>
      </c>
      <c r="K10" s="11" t="n"/>
      <c r="L10" s="10" t="inlineStr">
        <is>
          <t>A3</t>
        </is>
      </c>
      <c r="M10" s="11" t="n"/>
      <c r="N10" s="10" t="inlineStr">
        <is>
          <t>A3</t>
        </is>
      </c>
      <c r="O10" s="11" t="n"/>
      <c r="P10" s="10" t="n"/>
      <c r="Q10" s="11" t="n"/>
      <c r="S10" s="15" t="n"/>
      <c r="T10" s="31" t="inlineStr">
        <is>
          <t>王芳</t>
        </is>
      </c>
      <c r="U10" s="31">
        <f t="array" ref="U10">SUMPRODUCT(COUNTIF(INDIRECT({"E5:E18","G5:G18","I5:I18","K5:K18","M5:M18","O5:O18","Q5:Q18"}),T10))*2&amp;"小时"</f>
        <v/>
      </c>
      <c r="V10" s="16" t="n"/>
      <c r="W10" s="15" t="n"/>
      <c r="X10" s="16" t="n"/>
      <c r="Y10" s="15" t="n"/>
      <c r="Z10" s="16" t="n"/>
      <c r="AA10" s="15" t="n"/>
      <c r="AB10" s="16" t="n"/>
    </row>
    <row r="11" ht="17.1" customHeight="1" s="51">
      <c r="A11" s="32" t="inlineStr">
        <is>
          <t>下午</t>
        </is>
      </c>
      <c r="B11" s="39" t="inlineStr">
        <is>
          <t>5-6节
（14:00-15:40）</t>
        </is>
      </c>
      <c r="C11" s="52" t="n"/>
      <c r="D11" s="6" t="inlineStr">
        <is>
          <t>A2</t>
        </is>
      </c>
      <c r="E11" s="7" t="n"/>
      <c r="F11" s="6" t="inlineStr">
        <is>
          <t>A2</t>
        </is>
      </c>
      <c r="G11" s="7" t="n"/>
      <c r="H11" s="6" t="inlineStr">
        <is>
          <t>A2</t>
        </is>
      </c>
      <c r="I11" s="7" t="n"/>
      <c r="J11" s="6" t="inlineStr">
        <is>
          <t>A2</t>
        </is>
      </c>
      <c r="K11" s="9" t="n"/>
      <c r="L11" s="6" t="inlineStr">
        <is>
          <t>A2</t>
        </is>
      </c>
      <c r="M11" s="7" t="n"/>
      <c r="N11" s="6" t="inlineStr">
        <is>
          <t>A2</t>
        </is>
      </c>
      <c r="O11" s="7" t="inlineStr">
        <is>
          <t>演示管理员</t>
        </is>
      </c>
      <c r="P11" s="6" t="inlineStr">
        <is>
          <t>A2</t>
        </is>
      </c>
      <c r="Q11" s="9" t="n"/>
      <c r="S11" s="15" t="n"/>
      <c r="T11" s="31" t="inlineStr">
        <is>
          <t>陈静</t>
        </is>
      </c>
      <c r="U11" s="31">
        <f t="array" ref="U11">SUMPRODUCT(COUNTIF(INDIRECT({"E5:E18","G5:G18","I5:I18","K5:K18","M5:M18","O5:O18","Q5:Q18"}),T11))*2&amp;"小时"</f>
        <v/>
      </c>
      <c r="V11" s="16" t="n"/>
      <c r="W11" s="15" t="n"/>
      <c r="X11" s="16" t="n"/>
      <c r="Y11" s="15" t="n"/>
      <c r="Z11" s="16" t="n"/>
      <c r="AA11" s="15" t="n"/>
      <c r="AB11" s="16" t="n"/>
    </row>
    <row r="12" ht="17.1" customHeight="1" s="51">
      <c r="A12" s="53" t="n"/>
      <c r="B12" s="54" t="n"/>
      <c r="C12" s="55" t="n"/>
      <c r="D12" s="10" t="inlineStr">
        <is>
          <t>A3</t>
        </is>
      </c>
      <c r="E12" s="11" t="n"/>
      <c r="F12" s="10" t="inlineStr">
        <is>
          <t>A3</t>
        </is>
      </c>
      <c r="G12" s="11" t="n"/>
      <c r="H12" s="10" t="inlineStr">
        <is>
          <t>A3</t>
        </is>
      </c>
      <c r="I12" s="11" t="n"/>
      <c r="J12" s="10" t="inlineStr">
        <is>
          <t>A3</t>
        </is>
      </c>
      <c r="K12" s="17" t="n"/>
      <c r="L12" s="10" t="inlineStr">
        <is>
          <t>A3</t>
        </is>
      </c>
      <c r="M12" s="18" t="n"/>
      <c r="N12" s="10" t="inlineStr">
        <is>
          <t>A3</t>
        </is>
      </c>
      <c r="O12" s="11" t="n"/>
      <c r="P12" s="10" t="inlineStr">
        <is>
          <t>A3</t>
        </is>
      </c>
      <c r="Q12" s="11" t="n"/>
    </row>
    <row r="13" ht="17.1" customHeight="1" s="51">
      <c r="A13" s="53" t="n"/>
      <c r="B13" s="39" t="inlineStr">
        <is>
          <t>7-8节
(16:00-17:40)</t>
        </is>
      </c>
      <c r="C13" s="52" t="n"/>
      <c r="D13" s="6" t="inlineStr">
        <is>
          <t>A2</t>
        </is>
      </c>
      <c r="E13" s="7" t="n"/>
      <c r="F13" s="6" t="inlineStr">
        <is>
          <t>A2</t>
        </is>
      </c>
      <c r="G13" s="7" t="n"/>
      <c r="H13" s="6" t="inlineStr">
        <is>
          <t>A2</t>
        </is>
      </c>
      <c r="I13" s="7" t="n"/>
      <c r="J13" s="6" t="inlineStr">
        <is>
          <t>A2</t>
        </is>
      </c>
      <c r="K13" s="7" t="n"/>
      <c r="L13" s="19" t="inlineStr">
        <is>
          <t>A2</t>
        </is>
      </c>
      <c r="M13" s="9" t="n"/>
      <c r="N13" s="19" t="inlineStr">
        <is>
          <t>A2</t>
        </is>
      </c>
      <c r="O13" s="7" t="inlineStr">
        <is>
          <t>演示管理员</t>
        </is>
      </c>
      <c r="P13" s="6" t="n"/>
      <c r="Q13" s="7" t="n"/>
    </row>
    <row r="14" ht="17.1" customHeight="1" s="51">
      <c r="A14" s="56" t="n"/>
      <c r="B14" s="54" t="n"/>
      <c r="C14" s="55" t="n"/>
      <c r="D14" s="10" t="inlineStr">
        <is>
          <t>A3</t>
        </is>
      </c>
      <c r="E14" s="11" t="n"/>
      <c r="F14" s="10" t="inlineStr">
        <is>
          <t>A3</t>
        </is>
      </c>
      <c r="G14" s="11" t="n"/>
      <c r="H14" s="10" t="inlineStr">
        <is>
          <t>A3</t>
        </is>
      </c>
      <c r="I14" s="11" t="n"/>
      <c r="J14" s="10" t="inlineStr">
        <is>
          <t>A3</t>
        </is>
      </c>
      <c r="K14" s="11" t="n"/>
      <c r="L14" s="10" t="inlineStr">
        <is>
          <t>A3</t>
        </is>
      </c>
      <c r="M14" s="11" t="n"/>
      <c r="N14" s="10" t="inlineStr">
        <is>
          <t>A3</t>
        </is>
      </c>
      <c r="O14" s="11" t="n"/>
      <c r="P14" s="10" t="n"/>
      <c r="Q14" s="11" t="n"/>
    </row>
    <row r="15" ht="17.1" customHeight="1" s="51">
      <c r="A15" s="32" t="inlineStr">
        <is>
          <t>晚上</t>
        </is>
      </c>
      <c r="B15" s="40" t="inlineStr">
        <is>
          <t>9-10节
(18:50:00-20:30)</t>
        </is>
      </c>
      <c r="C15" s="52" t="n"/>
      <c r="D15" s="6" t="inlineStr">
        <is>
          <t>A2</t>
        </is>
      </c>
      <c r="E15" s="14" t="n"/>
      <c r="F15" s="6" t="inlineStr">
        <is>
          <t>A2</t>
        </is>
      </c>
      <c r="G15" s="7" t="n"/>
      <c r="H15" s="6" t="inlineStr">
        <is>
          <t>A2</t>
        </is>
      </c>
      <c r="I15" s="7" t="n"/>
      <c r="J15" s="6" t="inlineStr">
        <is>
          <t>A2</t>
        </is>
      </c>
      <c r="K15" s="7" t="n"/>
      <c r="L15" s="19" t="inlineStr">
        <is>
          <t>A2</t>
        </is>
      </c>
      <c r="M15" s="9" t="n"/>
      <c r="N15" s="19" t="inlineStr">
        <is>
          <t>A2</t>
        </is>
      </c>
      <c r="O15" s="7" t="inlineStr">
        <is>
          <t>演示管理员</t>
        </is>
      </c>
      <c r="P15" s="6" t="n"/>
      <c r="Q15" s="7" t="n"/>
    </row>
    <row r="16" ht="16.5" customHeight="1" s="51">
      <c r="A16" s="53" t="n"/>
      <c r="B16" s="54" t="n"/>
      <c r="C16" s="55" t="n"/>
      <c r="D16" s="20" t="inlineStr">
        <is>
          <t>A3</t>
        </is>
      </c>
      <c r="E16" s="11" t="n"/>
      <c r="F16" s="20" t="inlineStr">
        <is>
          <t>A3</t>
        </is>
      </c>
      <c r="G16" s="21" t="n"/>
      <c r="H16" s="20" t="inlineStr">
        <is>
          <t>A3</t>
        </is>
      </c>
      <c r="I16" s="11" t="n"/>
      <c r="J16" s="20" t="inlineStr">
        <is>
          <t>A3</t>
        </is>
      </c>
      <c r="K16" s="11" t="n"/>
      <c r="L16" s="10" t="inlineStr">
        <is>
          <t>A3</t>
        </is>
      </c>
      <c r="M16" s="11" t="n"/>
      <c r="N16" s="10" t="inlineStr">
        <is>
          <t>A3</t>
        </is>
      </c>
      <c r="O16" s="11" t="n"/>
      <c r="P16" s="10" t="n"/>
      <c r="Q16" s="22" t="n"/>
    </row>
    <row r="17" ht="17.1" customHeight="1" s="51">
      <c r="A17" s="53" t="n"/>
      <c r="B17" s="37" t="inlineStr">
        <is>
          <t>11-12节
（晚上巡楼）</t>
        </is>
      </c>
      <c r="C17" s="48" t="n"/>
      <c r="D17" s="23" t="inlineStr">
        <is>
          <t>A2</t>
        </is>
      </c>
      <c r="E17" s="24" t="inlineStr">
        <is>
          <t>演示管理员</t>
        </is>
      </c>
      <c r="F17" s="23" t="inlineStr">
        <is>
          <t>A2</t>
        </is>
      </c>
      <c r="G17" s="24" t="inlineStr">
        <is>
          <t>演示管理员</t>
        </is>
      </c>
      <c r="H17" s="23" t="inlineStr">
        <is>
          <t>A2</t>
        </is>
      </c>
      <c r="I17" s="24" t="inlineStr">
        <is>
          <t>演示管理员</t>
        </is>
      </c>
      <c r="J17" s="23" t="inlineStr">
        <is>
          <t>A2</t>
        </is>
      </c>
      <c r="K17" s="24" t="inlineStr">
        <is>
          <t>演示管理员</t>
        </is>
      </c>
      <c r="L17" s="23" t="inlineStr">
        <is>
          <t>A2</t>
        </is>
      </c>
      <c r="M17" s="24" t="inlineStr">
        <is>
          <t>演示管理员</t>
        </is>
      </c>
      <c r="N17" s="23" t="inlineStr">
        <is>
          <t>A2</t>
        </is>
      </c>
      <c r="O17" s="24" t="inlineStr">
        <is>
          <t>演示管理员</t>
        </is>
      </c>
      <c r="P17" s="6" t="n"/>
      <c r="Q17" s="25" t="n"/>
    </row>
    <row r="18" ht="17.1" customHeight="1" s="51">
      <c r="A18" s="56" t="n"/>
      <c r="B18" s="49" t="n"/>
      <c r="C18" s="50" t="n"/>
      <c r="D18" s="26" t="inlineStr">
        <is>
          <t>A3</t>
        </is>
      </c>
      <c r="E18" s="24" t="inlineStr">
        <is>
          <t>演示管理员</t>
        </is>
      </c>
      <c r="F18" s="23" t="inlineStr">
        <is>
          <t>A3</t>
        </is>
      </c>
      <c r="G18" s="24" t="inlineStr">
        <is>
          <t>演示管理员</t>
        </is>
      </c>
      <c r="H18" s="23" t="inlineStr">
        <is>
          <t>A3</t>
        </is>
      </c>
      <c r="I18" s="24" t="inlineStr">
        <is>
          <t>演示管理员</t>
        </is>
      </c>
      <c r="J18" s="23" t="inlineStr">
        <is>
          <t>A3</t>
        </is>
      </c>
      <c r="K18" s="24" t="inlineStr">
        <is>
          <t>演示管理员</t>
        </is>
      </c>
      <c r="L18" s="23" t="inlineStr">
        <is>
          <t>A3</t>
        </is>
      </c>
      <c r="M18" s="24" t="inlineStr">
        <is>
          <t>演示管理员</t>
        </is>
      </c>
      <c r="N18" s="23" t="inlineStr">
        <is>
          <t>A3</t>
        </is>
      </c>
      <c r="O18" s="24" t="inlineStr">
        <is>
          <t>演示管理员</t>
        </is>
      </c>
      <c r="P18" s="10" t="n"/>
      <c r="Q18" s="27" t="n"/>
    </row>
    <row r="19" ht="17.1" customHeight="1" s="51">
      <c r="A19" s="15" t="n"/>
      <c r="B19" s="15" t="n"/>
      <c r="C19" s="15" t="n"/>
      <c r="D19" s="15" t="n"/>
      <c r="E19" s="15" t="n"/>
      <c r="F19" s="15" t="n"/>
      <c r="G19" s="15" t="n"/>
      <c r="H19" s="15" t="n"/>
      <c r="I19" s="15" t="n"/>
      <c r="J19" s="15" t="n"/>
      <c r="K19" s="15" t="n"/>
      <c r="L19" s="15" t="n"/>
      <c r="M19" s="15" t="n"/>
      <c r="N19" s="15" t="n"/>
      <c r="O19" s="15" t="n"/>
      <c r="P19" s="15" t="n"/>
      <c r="Q19" s="15" t="n"/>
    </row>
    <row r="20" ht="17.1" customFormat="1" customHeight="1" s="2">
      <c r="A20" s="44" t="inlineStr">
        <is>
          <t>负责老师姓名</t>
        </is>
      </c>
      <c r="B20" s="33" t="n"/>
      <c r="C20" s="33" t="n"/>
      <c r="D20" s="34" t="n"/>
      <c r="E20" s="44" t="inlineStr">
        <is>
          <t>演示老师</t>
        </is>
      </c>
      <c r="F20" s="33" t="n"/>
      <c r="G20" s="33" t="n"/>
      <c r="H20" s="34" t="n"/>
      <c r="I20" s="44" t="inlineStr">
        <is>
          <t>负责老师联系电话</t>
        </is>
      </c>
      <c r="J20" s="33" t="n"/>
      <c r="K20" s="33" t="n"/>
      <c r="L20" s="33" t="n"/>
      <c r="M20" s="34" t="n"/>
      <c r="N20" s="44" t="n">
        <v>13372602451</v>
      </c>
      <c r="O20" s="33" t="n"/>
      <c r="P20" s="33" t="n"/>
      <c r="Q20" s="34" t="n"/>
    </row>
    <row r="21" ht="17.1" customHeight="1" s="51">
      <c r="A21" s="32" t="inlineStr">
        <is>
          <t>值班学生姓名</t>
        </is>
      </c>
      <c r="B21" s="33" t="n"/>
      <c r="C21" s="33" t="n"/>
      <c r="D21" s="34" t="n"/>
      <c r="E21" s="32" t="inlineStr">
        <is>
          <t>值班学生电话</t>
        </is>
      </c>
      <c r="F21" s="33" t="n"/>
      <c r="G21" s="33" t="n"/>
      <c r="H21" s="34" t="n"/>
      <c r="I21" s="32" t="inlineStr">
        <is>
          <t>值班学生姓名</t>
        </is>
      </c>
      <c r="J21" s="33" t="n"/>
      <c r="K21" s="33" t="n"/>
      <c r="L21" s="33" t="n"/>
      <c r="M21" s="34" t="n"/>
      <c r="N21" s="32" t="inlineStr">
        <is>
          <t>值班学生电话</t>
        </is>
      </c>
      <c r="O21" s="33" t="n"/>
      <c r="P21" s="33" t="n"/>
      <c r="Q21" s="34" t="n"/>
      <c r="R21" s="28" t="n"/>
      <c r="S21" s="28" t="n"/>
    </row>
    <row r="22" ht="17.1" customHeight="1" s="51">
      <c r="A22" s="32" t="inlineStr">
        <is>
          <t>演示管理员</t>
        </is>
      </c>
      <c r="B22" s="33" t="n"/>
      <c r="C22" s="33" t="n"/>
      <c r="D22" s="34" t="n"/>
      <c r="E22" s="32" t="n">
        <v>18238737291</v>
      </c>
      <c r="F22" s="33" t="n"/>
      <c r="G22" s="33" t="n"/>
      <c r="H22" s="34" t="n"/>
      <c r="I22" s="32" t="inlineStr">
        <is>
          <t>李雷</t>
        </is>
      </c>
      <c r="J22" s="33" t="n"/>
      <c r="K22" s="33" t="n"/>
      <c r="L22" s="33" t="n"/>
      <c r="M22" s="34" t="n"/>
      <c r="N22" s="32" t="n">
        <v>18225271243</v>
      </c>
      <c r="O22" s="33" t="n"/>
      <c r="P22" s="33" t="n"/>
      <c r="Q22" s="34" t="n"/>
      <c r="R22" s="28" t="n"/>
      <c r="S22" s="28" t="n"/>
    </row>
    <row r="23" ht="17.1" customHeight="1" s="51">
      <c r="A23" s="32" t="inlineStr">
        <is>
          <t>韩梅梅</t>
        </is>
      </c>
      <c r="B23" s="33" t="n"/>
      <c r="C23" s="33" t="n"/>
      <c r="D23" s="34" t="n"/>
      <c r="E23" s="32" t="n">
        <v>17784348906</v>
      </c>
      <c r="F23" s="33" t="n"/>
      <c r="G23" s="33" t="n"/>
      <c r="H23" s="34" t="n"/>
      <c r="I23" s="32" t="inlineStr">
        <is>
          <t>赵敏</t>
        </is>
      </c>
      <c r="J23" s="33" t="n"/>
      <c r="K23" s="33" t="n"/>
      <c r="L23" s="33" t="n"/>
      <c r="M23" s="34" t="n"/>
      <c r="N23" s="32" t="n">
        <v>18323570502</v>
      </c>
      <c r="O23" s="33" t="n"/>
      <c r="P23" s="33" t="n"/>
      <c r="Q23" s="34" t="n"/>
      <c r="R23" s="28" t="n"/>
      <c r="S23" s="28" t="n"/>
    </row>
    <row r="24" ht="17.1" customHeight="1" s="51">
      <c r="A24" s="32" t="inlineStr">
        <is>
          <t>王芳</t>
        </is>
      </c>
      <c r="B24" s="33" t="n"/>
      <c r="C24" s="33" t="n"/>
      <c r="D24" s="34" t="n"/>
      <c r="E24" s="32" t="n">
        <v>15025662064</v>
      </c>
      <c r="F24" s="33" t="n"/>
      <c r="G24" s="33" t="n"/>
      <c r="H24" s="34" t="n"/>
      <c r="I24" s="32" t="inlineStr">
        <is>
          <t>陈静</t>
        </is>
      </c>
      <c r="J24" s="33" t="n"/>
      <c r="K24" s="33" t="n"/>
      <c r="L24" s="33" t="n"/>
      <c r="M24" s="34" t="n"/>
      <c r="N24" s="32" t="n">
        <v>17823178953</v>
      </c>
      <c r="O24" s="33" t="n"/>
      <c r="P24" s="33" t="n"/>
      <c r="Q24" s="34" t="n"/>
      <c r="R24" s="28" t="n"/>
      <c r="S24" s="28" t="n"/>
    </row>
    <row r="25" ht="17.1" customHeight="1" s="51">
      <c r="A25" s="32" t="n"/>
      <c r="B25" s="33" t="n"/>
      <c r="C25" s="33" t="n"/>
      <c r="D25" s="34" t="n"/>
      <c r="E25" s="32" t="n"/>
      <c r="F25" s="33" t="n"/>
      <c r="G25" s="33" t="n"/>
      <c r="H25" s="34" t="n"/>
      <c r="I25" s="32" t="n"/>
      <c r="J25" s="33" t="n"/>
      <c r="K25" s="33" t="n"/>
      <c r="L25" s="33" t="n"/>
      <c r="M25" s="34" t="n"/>
      <c r="N25" s="32" t="n"/>
      <c r="O25" s="33" t="n"/>
      <c r="P25" s="33" t="n"/>
      <c r="Q25" s="34" t="n"/>
      <c r="R25" s="28" t="n"/>
      <c r="S25" s="28" t="n"/>
    </row>
    <row r="26" ht="17.1" customHeight="1" s="51">
      <c r="A26" s="32" t="n"/>
      <c r="B26" s="33" t="n"/>
      <c r="C26" s="33" t="n"/>
      <c r="D26" s="34" t="n"/>
      <c r="E26" s="32" t="n"/>
      <c r="F26" s="33" t="n"/>
      <c r="G26" s="33" t="n"/>
      <c r="H26" s="34" t="n"/>
      <c r="I26" s="32" t="n"/>
      <c r="J26" s="33" t="n"/>
      <c r="K26" s="33" t="n"/>
      <c r="L26" s="33" t="n"/>
      <c r="M26" s="34" t="n"/>
      <c r="N26" s="32" t="n"/>
      <c r="O26" s="33" t="n"/>
      <c r="P26" s="33" t="n"/>
      <c r="Q26" s="34" t="n"/>
      <c r="R26" s="28" t="n"/>
      <c r="S26" s="28" t="n"/>
    </row>
    <row r="27" ht="17.1" customHeight="1" s="51">
      <c r="A27" s="32" t="n"/>
      <c r="B27" s="33" t="n"/>
      <c r="C27" s="33" t="n"/>
      <c r="D27" s="34" t="n"/>
      <c r="E27" s="32" t="n"/>
      <c r="F27" s="33" t="n"/>
      <c r="G27" s="33" t="n"/>
      <c r="H27" s="34" t="n"/>
      <c r="I27" s="32" t="n"/>
      <c r="J27" s="33" t="n"/>
      <c r="K27" s="33" t="n"/>
      <c r="L27" s="33" t="n"/>
      <c r="M27" s="34" t="n"/>
      <c r="N27" s="32" t="n"/>
      <c r="O27" s="33" t="n"/>
      <c r="P27" s="33" t="n"/>
      <c r="Q27" s="34" t="n"/>
      <c r="R27" s="28" t="n"/>
      <c r="S27" s="28" t="n"/>
    </row>
    <row r="28" ht="17.1" customHeight="1" s="51">
      <c r="A28" s="32" t="n"/>
      <c r="B28" s="33" t="n"/>
      <c r="C28" s="33" t="n"/>
      <c r="D28" s="34" t="n"/>
      <c r="E28" s="32" t="n"/>
      <c r="F28" s="33" t="n"/>
      <c r="G28" s="33" t="n"/>
      <c r="H28" s="34" t="n"/>
      <c r="I28" s="32" t="n"/>
      <c r="J28" s="33" t="n"/>
      <c r="K28" s="33" t="n"/>
      <c r="L28" s="33" t="n"/>
      <c r="M28" s="34" t="n"/>
      <c r="N28" s="32" t="n"/>
      <c r="O28" s="33" t="n"/>
      <c r="P28" s="33" t="n"/>
      <c r="Q28" s="34" t="n"/>
      <c r="R28" s="28" t="n"/>
      <c r="S28" s="28" t="n"/>
    </row>
    <row r="29" ht="17.1" customHeight="1" s="51">
      <c r="A29" s="32" t="n"/>
      <c r="B29" s="33" t="n"/>
      <c r="C29" s="33" t="n"/>
      <c r="D29" s="34" t="n"/>
      <c r="E29" s="32" t="n"/>
      <c r="F29" s="33" t="n"/>
      <c r="G29" s="33" t="n"/>
      <c r="H29" s="34" t="n"/>
      <c r="I29" s="32" t="n"/>
      <c r="J29" s="33" t="n"/>
      <c r="K29" s="33" t="n"/>
      <c r="L29" s="33" t="n"/>
      <c r="M29" s="34" t="n"/>
      <c r="N29" s="32" t="n"/>
      <c r="O29" s="33" t="n"/>
      <c r="P29" s="33" t="n"/>
      <c r="Q29" s="34" t="n"/>
      <c r="R29" s="28" t="n"/>
      <c r="S29" s="28" t="n"/>
    </row>
    <row r="30" ht="17.1" customFormat="1" customHeight="1" s="3">
      <c r="A30" s="35" t="inlineStr">
        <is>
          <t>备注：
    1.请各位同学合理安排课余时间，每月尽量保证值班时间在40个小时；
    2.在值班期间不得擅自离岗，否则记缺勤；若有事来不了可叫人替班；
    3.学生处在每月进行勤工助学岗位监察，若在监察期间，值班同学未到岗或在监察人员通知后十分钟未到岗者记缺勤；
    4.各位勤工助学负责老师在每个月月末将下月勤工助学值班表交电子档于学生处。</t>
        </is>
      </c>
      <c r="B30" s="57" t="n"/>
      <c r="C30" s="57" t="n"/>
      <c r="D30" s="57" t="n"/>
      <c r="E30" s="57" t="n"/>
      <c r="F30" s="57" t="n"/>
      <c r="G30" s="57" t="n"/>
      <c r="H30" s="57" t="n"/>
      <c r="I30" s="57" t="n"/>
      <c r="J30" s="57" t="n"/>
      <c r="K30" s="57" t="n"/>
      <c r="L30" s="57" t="n"/>
      <c r="M30" s="57" t="n"/>
      <c r="N30" s="57" t="n"/>
      <c r="O30" s="57" t="n"/>
      <c r="P30" s="57" t="n"/>
      <c r="Q30" s="52" t="n"/>
    </row>
    <row r="31" ht="17.1" customFormat="1" customHeight="1" s="3">
      <c r="A31" s="58" t="n"/>
      <c r="Q31" s="59" t="n"/>
    </row>
    <row r="32" ht="17.1" customFormat="1" customHeight="1" s="3">
      <c r="A32" s="58" t="n"/>
      <c r="Q32" s="59" t="n"/>
    </row>
    <row r="33" ht="17.1" customFormat="1" customHeight="1" s="3">
      <c r="A33" s="54" t="n"/>
      <c r="B33" s="60" t="n"/>
      <c r="C33" s="60" t="n"/>
      <c r="D33" s="60" t="n"/>
      <c r="E33" s="60" t="n"/>
      <c r="F33" s="60" t="n"/>
      <c r="G33" s="60" t="n"/>
      <c r="H33" s="60" t="n"/>
      <c r="I33" s="60" t="n"/>
      <c r="J33" s="60" t="n"/>
      <c r="K33" s="60" t="n"/>
      <c r="L33" s="60" t="n"/>
      <c r="M33" s="60" t="n"/>
      <c r="N33" s="60" t="n"/>
      <c r="O33" s="60" t="n"/>
      <c r="P33" s="60" t="n"/>
      <c r="Q33" s="55" t="n"/>
    </row>
    <row r="34" ht="17.1" customHeight="1" s="51"/>
    <row r="35" ht="17.1" customHeight="1" s="51"/>
    <row r="36" ht="17.1" customHeight="1" s="51"/>
    <row r="37" ht="17.1" customHeight="1" s="51"/>
    <row r="38" ht="17.1" customHeight="1" s="51"/>
    <row r="39" ht="15.95" customHeight="1" s="51"/>
    <row r="40" ht="15.95" customHeight="1" s="51"/>
    <row r="41" ht="15.95" customHeight="1" s="51"/>
    <row r="42" ht="15.95" customHeight="1" s="51"/>
  </sheetData>
  <mergeCells count="62">
    <mergeCell ref="F4:G4"/>
    <mergeCell ref="A23:D23"/>
    <mergeCell ref="N28:Q28"/>
    <mergeCell ref="E26:H26"/>
    <mergeCell ref="P4:Q4"/>
    <mergeCell ref="B13:C14"/>
    <mergeCell ref="A22:D22"/>
    <mergeCell ref="A20:D20"/>
    <mergeCell ref="B15:C16"/>
    <mergeCell ref="A29:D29"/>
    <mergeCell ref="A11:A14"/>
    <mergeCell ref="E25:H25"/>
    <mergeCell ref="H4:I4"/>
    <mergeCell ref="I27:M27"/>
    <mergeCell ref="N24:Q24"/>
    <mergeCell ref="A28:D28"/>
    <mergeCell ref="B9:C10"/>
    <mergeCell ref="E27:H27"/>
    <mergeCell ref="E22:H22"/>
    <mergeCell ref="I26:M26"/>
    <mergeCell ref="N27:Q27"/>
    <mergeCell ref="I25:M25"/>
    <mergeCell ref="N26:Q26"/>
    <mergeCell ref="B5:C6"/>
    <mergeCell ref="E21:H21"/>
    <mergeCell ref="N20:Q20"/>
    <mergeCell ref="I22:M22"/>
    <mergeCell ref="I28:M28"/>
    <mergeCell ref="A24:D24"/>
    <mergeCell ref="E24:H24"/>
    <mergeCell ref="N25:Q25"/>
    <mergeCell ref="J4:K4"/>
    <mergeCell ref="I21:M21"/>
    <mergeCell ref="E23:H23"/>
    <mergeCell ref="L4:M4"/>
    <mergeCell ref="N22:Q22"/>
    <mergeCell ref="A3:Q3"/>
    <mergeCell ref="B7:C8"/>
    <mergeCell ref="E20:H20"/>
    <mergeCell ref="N21:Q21"/>
    <mergeCell ref="I24:M24"/>
    <mergeCell ref="A25:D25"/>
    <mergeCell ref="D4:E4"/>
    <mergeCell ref="E29:H29"/>
    <mergeCell ref="A5:A8"/>
    <mergeCell ref="I23:M23"/>
    <mergeCell ref="E28:H28"/>
    <mergeCell ref="A1:Q2"/>
    <mergeCell ref="N23:Q23"/>
    <mergeCell ref="A27:D27"/>
    <mergeCell ref="I29:M29"/>
    <mergeCell ref="B17:C18"/>
    <mergeCell ref="A9:A10"/>
    <mergeCell ref="I20:M20"/>
    <mergeCell ref="B11:C12"/>
    <mergeCell ref="A26:D26"/>
    <mergeCell ref="A21:D21"/>
    <mergeCell ref="A15:A18"/>
    <mergeCell ref="N29:Q29"/>
    <mergeCell ref="A30:Q33"/>
    <mergeCell ref="B4:C4"/>
    <mergeCell ref="N4:O4"/>
  </mergeCells>
  <pageMargins left="0.75" right="0.75" top="1" bottom="1" header="0.5" footer="0.5"/>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20"/>
  <sheetViews>
    <sheetView workbookViewId="0">
      <selection activeCell="H19" sqref="H19:Q20"/>
    </sheetView>
  </sheetViews>
  <sheetFormatPr baseColWidth="8" defaultColWidth="9" defaultRowHeight="13.5"/>
  <sheetData>
    <row r="1"/>
    <row r="2"/>
    <row r="3"/>
    <row r="4"/>
    <row r="5"/>
    <row r="6"/>
    <row r="7"/>
    <row r="8"/>
    <row r="9"/>
    <row r="10"/>
    <row r="11"/>
    <row r="12"/>
    <row r="13"/>
    <row r="14"/>
    <row r="15"/>
    <row r="16"/>
    <row r="17"/>
    <row r="18">
      <c r="F18" s="32" t="n"/>
      <c r="G18" s="34" t="n"/>
      <c r="H18" s="32" t="inlineStr">
        <is>
          <t>星期一</t>
        </is>
      </c>
      <c r="I18" s="34" t="n"/>
      <c r="J18" s="32" t="inlineStr">
        <is>
          <t>星期二</t>
        </is>
      </c>
      <c r="K18" s="34" t="n"/>
      <c r="L18" s="32" t="inlineStr">
        <is>
          <t xml:space="preserve">星期三 </t>
        </is>
      </c>
      <c r="M18" s="34" t="n"/>
      <c r="N18" s="32" t="inlineStr">
        <is>
          <t>星期四</t>
        </is>
      </c>
      <c r="O18" s="34" t="n"/>
      <c r="P18" s="32" t="inlineStr">
        <is>
          <t>星期五</t>
        </is>
      </c>
      <c r="Q18" s="34" t="n"/>
    </row>
    <row r="19">
      <c r="F19" s="37" t="inlineStr">
        <is>
          <t>11-12节
（晚上巡楼）</t>
        </is>
      </c>
      <c r="G19" s="48" t="n"/>
      <c r="H19" s="23" t="inlineStr">
        <is>
          <t>A2</t>
        </is>
      </c>
      <c r="I19" s="24" t="inlineStr">
        <is>
          <t>演示管理员</t>
        </is>
      </c>
      <c r="J19" s="23" t="inlineStr">
        <is>
          <t>A2</t>
        </is>
      </c>
      <c r="K19" s="24" t="inlineStr">
        <is>
          <t>韩梅梅</t>
        </is>
      </c>
      <c r="L19" s="23" t="inlineStr">
        <is>
          <t>A2</t>
        </is>
      </c>
      <c r="M19" s="24" t="inlineStr">
        <is>
          <t>李雷</t>
        </is>
      </c>
      <c r="N19" s="23" t="inlineStr">
        <is>
          <t>A2</t>
        </is>
      </c>
      <c r="O19" s="24" t="inlineStr">
        <is>
          <t>王芳</t>
        </is>
      </c>
      <c r="P19" s="23" t="inlineStr">
        <is>
          <t>A2</t>
        </is>
      </c>
      <c r="Q19" s="24" t="inlineStr">
        <is>
          <t>赵敏</t>
        </is>
      </c>
    </row>
    <row r="20">
      <c r="F20" s="49" t="n"/>
      <c r="G20" s="50" t="n"/>
      <c r="H20" s="26" t="inlineStr">
        <is>
          <t>A3</t>
        </is>
      </c>
      <c r="I20" s="24" t="inlineStr">
        <is>
          <t>演示管理员</t>
        </is>
      </c>
      <c r="J20" s="23" t="inlineStr">
        <is>
          <t>A3</t>
        </is>
      </c>
      <c r="K20" s="24" t="inlineStr">
        <is>
          <t>韩梅梅</t>
        </is>
      </c>
      <c r="L20" s="23" t="inlineStr">
        <is>
          <t>A3</t>
        </is>
      </c>
      <c r="M20" s="24" t="inlineStr">
        <is>
          <t>李雷</t>
        </is>
      </c>
      <c r="N20" s="23" t="inlineStr">
        <is>
          <t>A3</t>
        </is>
      </c>
      <c r="O20" s="24" t="inlineStr">
        <is>
          <t>王芳</t>
        </is>
      </c>
      <c r="P20" s="23" t="inlineStr">
        <is>
          <t>A3</t>
        </is>
      </c>
      <c r="Q20" s="24" t="inlineStr">
        <is>
          <t>赵敏</t>
        </is>
      </c>
    </row>
  </sheetData>
  <mergeCells count="7">
    <mergeCell ref="P18:Q18"/>
    <mergeCell ref="H18:I18"/>
    <mergeCell ref="F18:G18"/>
    <mergeCell ref="L18:M18"/>
    <mergeCell ref="J18:K18"/>
    <mergeCell ref="N18:O18"/>
    <mergeCell ref="F19:G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2024-05-18T09:37:00Z</dcterms:created>
  <dcterms:modified xsi:type="dcterms:W3CDTF">2026-10-24T06:30:45Z</dcterms:modified>
  <cp:lastModifiedBy>王朝凯</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3D161AD8B2F94589BD6AAC3D6A42E35E_13</vt:lpwstr>
  </property>
  <property name="KSOProductBuildVer" fmtid="{D5CDD505-2E9C-101B-9397-08002B2CF9AE}" pid="3">
    <vt:lpwstr>2052-12.1.0.25225</vt:lpwstr>
  </property>
  <property name="CalculationRule" fmtid="{D5CDD505-2E9C-101B-9397-08002B2CF9AE}" pid="4">
    <vt:i4>0</vt:i4>
  </property>
</Properties>
</file>